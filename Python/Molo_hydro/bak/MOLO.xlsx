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erbun-my.sharepoint.com/personal/es_verbun_com/Documents/Divisions/Offshore Wind/Projects/P2017.001/Work/Python/Molo_hydro/"/>
    </mc:Choice>
  </mc:AlternateContent>
  <xr:revisionPtr revIDLastSave="147" documentId="8_{DD7C730C-3AC4-4193-8C95-A368D2864255}" xr6:coauthVersionLast="41" xr6:coauthVersionMax="41" xr10:uidLastSave="{77C7EE90-B65C-41C8-BBE6-4161123E1604}"/>
  <bookViews>
    <workbookView xWindow="38280" yWindow="-120" windowWidth="38640" windowHeight="21240" xr2:uid="{F33F48B9-72E4-4F34-A334-D73685D57DD2}"/>
  </bookViews>
  <sheets>
    <sheet name="Floater" sheetId="1" r:id="rId1"/>
    <sheet name="Sheet1" sheetId="7" r:id="rId2"/>
    <sheet name="Tower" sheetId="3" r:id="rId3"/>
    <sheet name="RNA" sheetId="6" r:id="rId4"/>
    <sheet name="Ballast_2C" sheetId="2" r:id="rId5"/>
    <sheet name="Ballast_3C" sheetId="4" r:id="rId6"/>
    <sheet name="Ballast_4C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2" i="6" l="1"/>
  <c r="F2" i="6"/>
  <c r="E2" i="6"/>
  <c r="F13" i="7" l="1"/>
  <c r="F8" i="7"/>
  <c r="F7" i="7"/>
  <c r="M10" i="7" l="1"/>
  <c r="S5" i="7"/>
  <c r="Q5" i="7"/>
  <c r="P5" i="7"/>
  <c r="F9" i="7"/>
  <c r="C2" i="3" l="1"/>
</calcChain>
</file>

<file path=xl/sharedStrings.xml><?xml version="1.0" encoding="utf-8"?>
<sst xmlns="http://schemas.openxmlformats.org/spreadsheetml/2006/main" count="40" uniqueCount="33">
  <si>
    <t>ID</t>
  </si>
  <si>
    <t>type</t>
  </si>
  <si>
    <t>nc</t>
  </si>
  <si>
    <t>gap</t>
  </si>
  <si>
    <t>dia_rc</t>
  </si>
  <si>
    <t>thi_rc</t>
  </si>
  <si>
    <t>dia_hc</t>
  </si>
  <si>
    <t>thi_hc</t>
  </si>
  <si>
    <t>hgt</t>
  </si>
  <si>
    <t>t_lf</t>
  </si>
  <si>
    <t>t_uf</t>
  </si>
  <si>
    <t>ballast_id</t>
  </si>
  <si>
    <t>rho_bal</t>
  </si>
  <si>
    <t>h</t>
  </si>
  <si>
    <t>t</t>
  </si>
  <si>
    <t>d</t>
  </si>
  <si>
    <t>d_rot</t>
  </si>
  <si>
    <t>m</t>
  </si>
  <si>
    <t>ixx</t>
  </si>
  <si>
    <t>iyy</t>
  </si>
  <si>
    <t>izz</t>
  </si>
  <si>
    <t>iyz</t>
  </si>
  <si>
    <t>ixz</t>
  </si>
  <si>
    <t>ixy</t>
  </si>
  <si>
    <t>Molo</t>
  </si>
  <si>
    <t>Tower</t>
  </si>
  <si>
    <t>Vestas 9.5MW</t>
  </si>
  <si>
    <t>UNIT</t>
  </si>
  <si>
    <t>WTG</t>
  </si>
  <si>
    <t>IXX</t>
  </si>
  <si>
    <t>MASS</t>
  </si>
  <si>
    <t>FLOATER</t>
  </si>
  <si>
    <t>iXX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</si>
</sst>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11" fontId="0" fillId="0" borderId="0" xfId="0" applyNumberFormat="1"/>
    <xf numFmtId="164" fontId="0" fillId="0" borderId="0" xfId="1" applyNumberFormat="1" applyFont="1"/>
    <xf numFmtId="164" fontId="0" fillId="0" borderId="0" xfId="0" applyNumberFormat="1"/>
    <xf numFmtId="1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F7A50-23EB-4B53-B3E5-3C720577AC4B}">
  <dimension ref="A1:X20"/>
  <sheetViews>
    <sheetView tabSelected="1" workbookViewId="0">
      <selection activeCell="E3" sqref="E3"/>
    </sheetView>
  </sheetViews>
  <sheetFormatPr defaultRowHeight="15" x14ac:dyDescent="0.25"/>
  <cols>
    <col min="12" max="12" width="9.57031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24" x14ac:dyDescent="0.25">
      <c r="A2">
        <v>1</v>
      </c>
      <c r="B2" t="s">
        <v>24</v>
      </c>
      <c r="C2">
        <v>2</v>
      </c>
      <c r="D2">
        <v>1</v>
      </c>
      <c r="E2">
        <v>7</v>
      </c>
      <c r="F2">
        <v>0.04</v>
      </c>
      <c r="G2">
        <v>6</v>
      </c>
      <c r="H2">
        <v>0.04</v>
      </c>
      <c r="I2">
        <v>25</v>
      </c>
      <c r="J2">
        <v>0.04</v>
      </c>
      <c r="K2">
        <v>0.04</v>
      </c>
      <c r="L2">
        <v>1</v>
      </c>
      <c r="M2">
        <v>1025</v>
      </c>
    </row>
    <row r="16" spans="1:24" x14ac:dyDescent="0.25">
      <c r="X16" s="1"/>
    </row>
    <row r="20" spans="21:21" x14ac:dyDescent="0.25">
      <c r="U2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DE24B-7DE7-4C64-974F-2001F3F3AD0C}">
  <dimension ref="C5:S13"/>
  <sheetViews>
    <sheetView workbookViewId="0">
      <selection activeCell="G29" sqref="G29"/>
    </sheetView>
  </sheetViews>
  <sheetFormatPr defaultRowHeight="15" x14ac:dyDescent="0.25"/>
  <cols>
    <col min="4" max="4" width="10.42578125" bestFit="1" customWidth="1"/>
    <col min="6" max="6" width="15.85546875" bestFit="1" customWidth="1"/>
  </cols>
  <sheetData>
    <row r="5" spans="3:19" x14ac:dyDescent="0.25">
      <c r="M5">
        <v>113.5</v>
      </c>
      <c r="N5">
        <v>0.05</v>
      </c>
      <c r="O5">
        <v>6</v>
      </c>
      <c r="P5">
        <f>M5*N5*O5*PI()</f>
        <v>106.97122985473247</v>
      </c>
      <c r="Q5">
        <f>P5*7.85</f>
        <v>839.7241543596499</v>
      </c>
      <c r="R5" s="1">
        <v>18400</v>
      </c>
      <c r="S5" s="4">
        <f>SQRT(R5)</f>
        <v>135.64659966250537</v>
      </c>
    </row>
    <row r="6" spans="3:19" x14ac:dyDescent="0.25">
      <c r="D6" t="s">
        <v>32</v>
      </c>
      <c r="E6" t="s">
        <v>30</v>
      </c>
      <c r="F6" t="s">
        <v>29</v>
      </c>
    </row>
    <row r="7" spans="3:19" x14ac:dyDescent="0.25">
      <c r="C7" t="s">
        <v>31</v>
      </c>
      <c r="D7" s="2">
        <v>670</v>
      </c>
      <c r="E7">
        <v>2104.4</v>
      </c>
      <c r="F7" s="3">
        <f>D7*E7</f>
        <v>1409948</v>
      </c>
    </row>
    <row r="8" spans="3:19" x14ac:dyDescent="0.25">
      <c r="C8" t="s">
        <v>28</v>
      </c>
      <c r="D8" s="2">
        <v>18400</v>
      </c>
      <c r="E8">
        <v>1332.7</v>
      </c>
      <c r="F8" s="3">
        <f>D8*E8</f>
        <v>24521680</v>
      </c>
    </row>
    <row r="9" spans="3:19" x14ac:dyDescent="0.25">
      <c r="F9" s="3">
        <f>SUM(F7:F8)</f>
        <v>25931628</v>
      </c>
    </row>
    <row r="10" spans="3:19" x14ac:dyDescent="0.25">
      <c r="M10">
        <f>M5/2+M5/4+14</f>
        <v>99.125</v>
      </c>
    </row>
    <row r="13" spans="3:19" x14ac:dyDescent="0.25">
      <c r="C13" t="s">
        <v>27</v>
      </c>
      <c r="D13" s="2">
        <v>9160</v>
      </c>
      <c r="E13">
        <v>3437.1</v>
      </c>
      <c r="F13" s="3">
        <f>D13*E13</f>
        <v>31483836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B6283-611E-4810-BA42-3339D7BADB31}">
  <dimension ref="A1:E2"/>
  <sheetViews>
    <sheetView workbookViewId="0">
      <selection activeCell="C2" sqref="C2:E2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13</v>
      </c>
      <c r="D1" t="s">
        <v>14</v>
      </c>
      <c r="E1" t="s">
        <v>15</v>
      </c>
    </row>
    <row r="2" spans="1:5" x14ac:dyDescent="0.25">
      <c r="A2">
        <v>1</v>
      </c>
      <c r="B2" t="s">
        <v>25</v>
      </c>
      <c r="C2">
        <f>VLOOKUP(A2,RNA!A:J,3,FALSE)/2+30</f>
        <v>113.5</v>
      </c>
      <c r="D2">
        <v>0.05</v>
      </c>
      <c r="E2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66ECD-163D-428E-BB07-14ED79BB1924}">
  <dimension ref="A1:J2"/>
  <sheetViews>
    <sheetView workbookViewId="0">
      <selection activeCell="G10" sqref="G10"/>
    </sheetView>
  </sheetViews>
  <sheetFormatPr defaultRowHeight="15" x14ac:dyDescent="0.25"/>
  <cols>
    <col min="2" max="2" width="13.5703125" bestFit="1" customWidth="1"/>
  </cols>
  <sheetData>
    <row r="1" spans="1:10" x14ac:dyDescent="0.25">
      <c r="A1" t="s">
        <v>0</v>
      </c>
      <c r="B1" t="s">
        <v>1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</row>
    <row r="2" spans="1:10" x14ac:dyDescent="0.25">
      <c r="A2">
        <v>1</v>
      </c>
      <c r="B2" t="s">
        <v>26</v>
      </c>
      <c r="C2">
        <v>167</v>
      </c>
      <c r="D2">
        <v>500000</v>
      </c>
      <c r="E2">
        <f>D2*1^2</f>
        <v>500000</v>
      </c>
      <c r="F2">
        <f>D2*2^2</f>
        <v>2000000</v>
      </c>
      <c r="G2">
        <f>D2*2^2</f>
        <v>2000000</v>
      </c>
      <c r="H2">
        <v>0</v>
      </c>
      <c r="I2">
        <v>0</v>
      </c>
      <c r="J2"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58529-EB42-4AB6-AF3E-B1E37248168C}">
  <dimension ref="A1:G2"/>
  <sheetViews>
    <sheetView workbookViewId="0">
      <selection activeCell="H43" sqref="H43"/>
    </sheetView>
  </sheetViews>
  <sheetFormatPr defaultRowHeight="15" x14ac:dyDescent="0.25"/>
  <sheetData>
    <row r="1" spans="1:7" x14ac:dyDescent="0.25">
      <c r="A1" t="s">
        <v>0</v>
      </c>
    </row>
    <row r="2" spans="1:7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80579-3041-41A3-8FEA-BC82EFAD3B52}">
  <dimension ref="A1:J2"/>
  <sheetViews>
    <sheetView workbookViewId="0">
      <selection activeCell="K2" sqref="A1:XFD1048576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AA189-C977-46CC-ACC4-5C9BC8476DD0}">
  <dimension ref="A1:M2"/>
  <sheetViews>
    <sheetView workbookViewId="0">
      <selection activeCell="J39" sqref="J39"/>
    </sheetView>
  </sheetViews>
  <sheetFormatPr defaultRowHeight="15" x14ac:dyDescent="0.25"/>
  <sheetData>
    <row r="1" spans="1:13" x14ac:dyDescent="0.25">
      <c r="A1" t="s">
        <v>0</v>
      </c>
    </row>
    <row r="2" spans="1:13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Floater</vt:lpstr>
      <vt:lpstr>Sheet1</vt:lpstr>
      <vt:lpstr>Tower</vt:lpstr>
      <vt:lpstr>RNA</vt:lpstr>
      <vt:lpstr>Ballast_2C</vt:lpstr>
      <vt:lpstr>Ballast_3C</vt:lpstr>
      <vt:lpstr>Ballast_4C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Eivind Sønju</dc:creator>
  <cp:lastModifiedBy>Eivind Sønju</cp:lastModifiedBy>
  <dcterms:created xsi:type="dcterms:W3CDTF">2019-03-19T08:13:33Z</dcterms:created>
  <dcterms:modified xsi:type="dcterms:W3CDTF">2019-03-24T20:26:22Z</dcterms:modified>
</cp:coreProperties>
</file>